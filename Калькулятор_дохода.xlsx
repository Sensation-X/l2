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Расчёт месяца" sheetId="2" state="visible" r:id="rId2"/>
    <sheet xmlns:r="http://schemas.openxmlformats.org/officeDocument/2006/relationships" name="Прогноз 12 мес" sheetId="3" state="visible" r:id="rId3"/>
    <sheet xmlns:r="http://schemas.openxmlformats.org/officeDocument/2006/relationships" name="Пороги и ставки" sheetId="4" state="visible" r:id="rId4"/>
    <sheet xmlns:r="http://schemas.openxmlformats.org/officeDocument/2006/relationships" name="Прайс интеграци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1"/>
    </font>
    <font>
      <b val="1"/>
    </font>
    <font>
      <b val="1"/>
      <sz val="12"/>
    </font>
    <font>
      <i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3" fontId="4" fillId="4" borderId="1" pivotButton="0" quotePrefix="0" xfId="0"/>
    <xf numFmtId="0" fontId="2" fillId="0" borderId="0" applyAlignment="1" pivotButton="0" quotePrefix="0" xfId="0">
      <alignment vertical="top" wrapText="1"/>
    </xf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2" fontId="4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5" borderId="1" pivotButton="0" quotePrefix="0" xfId="0"/>
    <xf numFmtId="0" fontId="4" fillId="0" borderId="0" pivotButton="0" quotePrefix="0" xfId="0"/>
    <xf numFmtId="164" fontId="4" fillId="5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6" borderId="0" pivotButton="0" quotePrefix="0" xfId="0"/>
    <xf numFmtId="3" fontId="0" fillId="5" borderId="0" pivotButton="0" quotePrefix="0" xfId="0"/>
    <xf numFmtId="166" fontId="0" fillId="5" borderId="0" pivotButton="0" quotePrefix="0" xfId="0"/>
    <xf numFmtId="3" fontId="4" fillId="7" borderId="0" pivotButton="0" quotePrefix="0" xfId="0"/>
    <xf numFmtId="164" fontId="4" fillId="8" borderId="0" pivotButton="0" quotePrefix="0" xfId="0"/>
    <xf numFmtId="9" fontId="0" fillId="4" borderId="1" pivotButton="0" quotePrefix="0" xfId="0"/>
    <xf numFmtId="3" fontId="0" fillId="0" borderId="1" pivotButton="0" quotePrefix="0" xfId="0"/>
    <xf numFmtId="166" fontId="0" fillId="0" borderId="1" pivotButton="0" quotePrefix="0" xfId="0"/>
    <xf numFmtId="3" fontId="0" fillId="4" borderId="1" pivotButton="0" quotePrefix="0" xfId="0"/>
    <xf numFmtId="164" fontId="4" fillId="6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4" fontId="0" fillId="4" borderId="0" pivotButton="0" quotePrefix="0" xfId="0"/>
    <xf numFmtId="16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60" customWidth="1" min="4" max="4"/>
  </cols>
  <sheetData>
    <row r="1" ht="26" customHeight="1">
      <c r="A1" s="1" t="inlineStr">
        <is>
          <t>ВВОД ДАННЫХ — редактируй только жёлтые ячейки</t>
        </is>
      </c>
    </row>
    <row r="2">
      <c r="A2" s="2" t="inlineStr">
        <is>
          <t>Жёлтые ячейки = твои допущения. Зелёные на других листах = расчёт по формулам.</t>
        </is>
      </c>
    </row>
    <row r="3">
      <c r="A3" s="3" t="inlineStr">
        <is>
          <t>TELEGRAM</t>
        </is>
      </c>
      <c r="B3" s="4" t="n"/>
      <c r="C3" s="4" t="n"/>
      <c r="D3" s="4" t="n"/>
    </row>
    <row r="4">
      <c r="A4" s="5" t="inlineStr">
        <is>
          <t>Подписчиков в Telegram</t>
        </is>
      </c>
      <c r="B4" s="6" t="n">
        <v>800</v>
      </c>
      <c r="D4" s="7" t="inlineStr">
        <is>
          <t>Пороги рангов партнёрки: D=350, C=500, B=1000, A=2500, S=5000</t>
        </is>
      </c>
    </row>
    <row r="5">
      <c r="A5" s="5" t="inlineStr">
        <is>
          <t>Средний охват одного поста</t>
        </is>
      </c>
      <c r="B5" s="6" t="n">
        <v>700</v>
      </c>
      <c r="D5" s="7" t="inlineStr">
        <is>
          <t>Для рангов: D=500, C=750, B=1000, A=1500, S=3000</t>
        </is>
      </c>
    </row>
    <row r="6">
      <c r="A6" s="5" t="inlineStr">
        <is>
          <t>CPM ниши (₽ за 1000 просмотров поста)</t>
        </is>
      </c>
      <c r="B6" s="8" t="n">
        <v>150</v>
      </c>
      <c r="D6" s="7" t="inlineStr">
        <is>
          <t>Игровая ниша в TG: ориентир 100–300 ₽</t>
        </is>
      </c>
    </row>
    <row r="7">
      <c r="A7" s="5" t="inlineStr">
        <is>
          <t>Продажных интеграций в месяц</t>
        </is>
      </c>
      <c r="B7" s="6" t="n">
        <v>2</v>
      </c>
      <c r="D7" s="7" t="inlineStr">
        <is>
          <t>0 на старте; реально с 500–1000 подписчиков</t>
        </is>
      </c>
    </row>
    <row r="8">
      <c r="A8" s="3" t="inlineStr">
        <is>
          <t>ВИДЕОПЛОЩАДКИ</t>
        </is>
      </c>
      <c r="B8" s="4" t="n"/>
      <c r="C8" s="4" t="n"/>
      <c r="D8" s="4" t="n"/>
    </row>
    <row r="9">
      <c r="A9" s="5" t="inlineStr">
        <is>
          <t>Rutube: просмотров в месяц</t>
        </is>
      </c>
      <c r="B9" s="6" t="n">
        <v>6000</v>
      </c>
      <c r="D9" s="7" t="inlineStr">
        <is>
          <t>Порог монетизации: самозанятый + 2 видео + 5000 просмотров</t>
        </is>
      </c>
    </row>
    <row r="10">
      <c r="A10" s="5" t="inlineStr">
        <is>
          <t>Rutube: ставка ₽ / 1000 просмотров</t>
        </is>
      </c>
      <c r="B10" s="8" t="n">
        <v>60</v>
      </c>
      <c r="D10" s="7" t="inlineStr">
        <is>
          <t>Ориентир 50–90 ₽</t>
        </is>
      </c>
    </row>
    <row r="11">
      <c r="A11" s="5" t="inlineStr">
        <is>
          <t>VK Видео: просмотров в месяц</t>
        </is>
      </c>
      <c r="B11" s="6" t="n">
        <v>0</v>
      </c>
      <c r="D11" s="7" t="inlineStr">
        <is>
          <t>Порог: 5000 подписчиков сообщества, охваты ≥30%</t>
        </is>
      </c>
    </row>
    <row r="12">
      <c r="A12" s="5" t="inlineStr">
        <is>
          <t>VK Видео: ставка ₽ / 1000 просмотров</t>
        </is>
      </c>
      <c r="B12" s="8" t="n">
        <v>40</v>
      </c>
      <c r="D12" s="7" t="inlineStr">
        <is>
          <t>Ориентир 30–50 ₽ (50–80% rev share)</t>
        </is>
      </c>
    </row>
    <row r="13">
      <c r="A13" s="5" t="inlineStr">
        <is>
          <t>YouTube: просмотров в месяц</t>
        </is>
      </c>
      <c r="B13" s="6" t="n">
        <v>25000</v>
      </c>
      <c r="D13" s="7" t="inlineStr">
        <is>
          <t>Монетизация AdSense в РФ отключена → доход 0 ₽. Нужно для партнёрки</t>
        </is>
      </c>
    </row>
    <row r="14">
      <c r="A14" s="3" t="inlineStr">
        <is>
          <t>ДЗЕН</t>
        </is>
      </c>
      <c r="B14" s="4" t="n"/>
      <c r="C14" s="4" t="n"/>
      <c r="D14" s="4" t="n"/>
    </row>
    <row r="15">
      <c r="A15" s="5" t="inlineStr">
        <is>
          <t>Дзен: просмотров статей в месяц</t>
        </is>
      </c>
      <c r="B15" s="6" t="n">
        <v>40000</v>
      </c>
      <c r="D15" s="7" t="inlineStr">
        <is>
          <t>Порог монетизации: 30 часов просмотра от подписчиков за 30 дней</t>
        </is>
      </c>
    </row>
    <row r="16">
      <c r="A16" s="5" t="inlineStr">
        <is>
          <t>Доля дочитываний</t>
        </is>
      </c>
      <c r="B16" s="9" t="n">
        <v>0.3</v>
      </c>
      <c r="D16" s="7" t="inlineStr">
        <is>
          <t>Обычно 20–40%</t>
        </is>
      </c>
    </row>
    <row r="17">
      <c r="A17" s="5" t="inlineStr">
        <is>
          <t>Средняя длительность дочитывания, мин</t>
        </is>
      </c>
      <c r="B17" s="10" t="n">
        <v>2.5</v>
      </c>
      <c r="D17" s="7" t="inlineStr">
        <is>
          <t>Для гайдов 2–4 минуты</t>
        </is>
      </c>
    </row>
    <row r="18">
      <c r="A18" s="5" t="inlineStr">
        <is>
          <t>Ставка ₽ за минуту дочитывания</t>
        </is>
      </c>
      <c r="B18" s="11" t="n">
        <v>0.05</v>
      </c>
      <c r="D18" s="7" t="inlineStr">
        <is>
          <t>Ориентир 0,05 ₽</t>
        </is>
      </c>
    </row>
    <row r="19">
      <c r="A19" s="3" t="inlineStr">
        <is>
          <t>ПОДПИСКИ И ДОНАТЫ</t>
        </is>
      </c>
      <c r="B19" s="4" t="n"/>
      <c r="C19" s="4" t="n"/>
      <c r="D19" s="4" t="n"/>
    </row>
    <row r="20">
      <c r="A20" s="5" t="inlineStr">
        <is>
          <t>Boosty/клуб: платящих подписчиков</t>
        </is>
      </c>
      <c r="B20" s="6" t="n">
        <v>5</v>
      </c>
      <c r="D20" s="7" t="inlineStr">
        <is>
          <t>Реалистично 1–3% от аудитории</t>
        </is>
      </c>
    </row>
    <row r="21">
      <c r="A21" s="5" t="inlineStr">
        <is>
          <t>Средний чек подписки, ₽/мес</t>
        </is>
      </c>
      <c r="B21" s="8" t="n">
        <v>200</v>
      </c>
      <c r="D21" s="7" t="inlineStr">
        <is>
          <t>Тарифы 100 / 250 / 500 ₽</t>
        </is>
      </c>
    </row>
    <row r="22">
      <c r="A22" s="5" t="inlineStr">
        <is>
          <t>Инфопродукты и консультации: продаж в месяц</t>
        </is>
      </c>
      <c r="B22" s="6" t="n">
        <v>2</v>
      </c>
      <c r="D22" s="7" t="inlineStr">
        <is>
          <t>PDF-гайды, разборы</t>
        </is>
      </c>
    </row>
    <row r="23">
      <c r="A23" s="5" t="inlineStr">
        <is>
          <t>Средний чек продукта, ₽</t>
        </is>
      </c>
      <c r="B23" s="8" t="n">
        <v>350</v>
      </c>
      <c r="D23" s="7" t="inlineStr">
        <is>
          <t>190–1500 ₽ в зависимости от продукта</t>
        </is>
      </c>
    </row>
    <row r="24">
      <c r="A24" s="3" t="inlineStr">
        <is>
          <t>ПАРТНЁРКА ФОГЕЙМА (не кэш)</t>
        </is>
      </c>
      <c r="B24" s="4" t="n"/>
      <c r="C24" s="4" t="n"/>
      <c r="D24" s="4" t="n"/>
    </row>
    <row r="25">
      <c r="A25" s="5" t="inlineStr">
        <is>
          <t>Охват всего контента за месяц (просмотры)</t>
        </is>
      </c>
      <c r="B25" s="6" t="n">
        <v>60000</v>
      </c>
      <c r="D25" s="7" t="inlineStr">
        <is>
          <t>TG + YouTube + VK + Rutube + Дзен</t>
        </is>
      </c>
    </row>
    <row r="26">
      <c r="A26" s="5" t="inlineStr">
        <is>
          <t>CTR на реферальную ссылку</t>
        </is>
      </c>
      <c r="B26" s="9" t="n">
        <v>0.005</v>
      </c>
      <c r="D26" s="7" t="inlineStr">
        <is>
          <t>Реально 0,3–1% от всех просмотров; в постах про бонусы и промокоды до 3–5%</t>
        </is>
      </c>
    </row>
    <row r="27">
      <c r="A27" s="5" t="inlineStr">
        <is>
          <t>Конверсия перехода в регистрацию</t>
        </is>
      </c>
      <c r="B27" s="9" t="n">
        <v>0.35</v>
      </c>
      <c r="D27" s="7" t="inlineStr">
        <is>
          <t>Ориентир 30–50%</t>
        </is>
      </c>
    </row>
    <row r="28">
      <c r="A28" s="5" t="inlineStr">
        <is>
          <t>Доля новых/вернувшихся среди регистраций</t>
        </is>
      </c>
      <c r="B28" s="9" t="n">
        <v>0.25</v>
      </c>
      <c r="D28" s="7" t="inlineStr">
        <is>
          <t>Важно: твинки и действующие игроки не засчитываются</t>
        </is>
      </c>
    </row>
    <row r="29">
      <c r="A29" s="5" t="inlineStr">
        <is>
          <t>Доля дошедших до нужного уровня</t>
        </is>
      </c>
      <c r="B29" s="9" t="n">
        <v>0.5</v>
      </c>
      <c r="D29" s="7" t="inlineStr">
        <is>
          <t>91 ур. в Essence/Legacy, 116 в Main</t>
        </is>
      </c>
    </row>
    <row r="30">
      <c r="A30" s="5" t="inlineStr">
        <is>
          <t>Бонусов Фогейма за 1 реферала</t>
        </is>
      </c>
      <c r="B30" s="6" t="n">
        <v>700</v>
      </c>
      <c r="D30" s="7" t="inlineStr">
        <is>
          <t>Фиксировано правилами Программы</t>
        </is>
      </c>
    </row>
    <row r="31">
      <c r="A31" s="5" t="inlineStr">
        <is>
          <t>Бонусов Фогейма за ранг в месяц</t>
        </is>
      </c>
      <c r="B31" s="6" t="n">
        <v>6000</v>
      </c>
      <c r="D31" s="7" t="inlineStr">
        <is>
          <t>Лимит: D=4000, C=10000, B=20000, A=40000, S=70000</t>
        </is>
      </c>
    </row>
    <row r="32">
      <c r="A32" s="3" t="inlineStr">
        <is>
          <t>НАЛОГИ</t>
        </is>
      </c>
      <c r="B32" s="4" t="n"/>
      <c r="C32" s="4" t="n"/>
      <c r="D32" s="4" t="n"/>
    </row>
    <row r="33">
      <c r="A33" s="5" t="inlineStr">
        <is>
          <t>Ставка НПД (самозанятый)</t>
        </is>
      </c>
      <c r="B33" s="9" t="n">
        <v>0.06</v>
      </c>
      <c r="D33" s="7" t="inlineStr">
        <is>
          <t>6% с юрлиц, 4% с физлиц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62" customWidth="1" min="3" max="3"/>
  </cols>
  <sheetData>
    <row r="1" ht="26" customHeight="1">
      <c r="A1" s="1" t="inlineStr">
        <is>
          <t>РАСЧЁТ ДОХОДА ЗА ОДИН МЕСЯЦ</t>
        </is>
      </c>
    </row>
    <row r="2" ht="32" customHeight="1">
      <c r="A2" s="12" t="inlineStr">
        <is>
          <t>Источник</t>
        </is>
      </c>
      <c r="B2" s="12" t="inlineStr">
        <is>
          <t>Сумма</t>
        </is>
      </c>
      <c r="C2" s="12" t="inlineStr">
        <is>
          <t>Как считается / условие</t>
        </is>
      </c>
    </row>
    <row r="3">
      <c r="A3" s="3" t="inlineStr">
        <is>
          <t>КАШ (живые деньги)</t>
        </is>
      </c>
      <c r="B3" s="4" t="n"/>
      <c r="C3" s="4" t="n"/>
    </row>
    <row r="4">
      <c r="A4" s="5" t="inlineStr">
        <is>
          <t>Telegram: продажа интеграций</t>
        </is>
      </c>
      <c r="B4" s="13">
        <f>'Ввод'!$B$5/1000*'Ввод'!$B$6*'Ввод'!$B$7</f>
        <v/>
      </c>
      <c r="C4" s="7" t="inlineStr">
        <is>
          <t>охват/1000 × CPM × число размещений</t>
        </is>
      </c>
    </row>
    <row r="5">
      <c r="A5" s="5" t="inlineStr">
        <is>
          <t>Rutube: монетизация</t>
        </is>
      </c>
      <c r="B5" s="13">
        <f>'Ввод'!$B$9/1000*'Ввод'!$B$10</f>
        <v/>
      </c>
      <c r="C5" s="7" t="inlineStr">
        <is>
          <t>порог: самозанятый + 2 видео + 5000 просмотров</t>
        </is>
      </c>
    </row>
    <row r="6">
      <c r="A6" s="5" t="inlineStr">
        <is>
          <t>VK Видео: монетизация</t>
        </is>
      </c>
      <c r="B6" s="13">
        <f>'Ввод'!$B$11/1000*'Ввод'!$B$12</f>
        <v/>
      </c>
      <c r="C6" s="7" t="inlineStr">
        <is>
          <t>порог: 5000 подписчиков сообщества, охваты ≥30%</t>
        </is>
      </c>
    </row>
    <row r="7">
      <c r="A7" s="5" t="inlineStr">
        <is>
          <t>YouTube: монетизация</t>
        </is>
      </c>
      <c r="B7" s="13">
        <f>0</f>
        <v/>
      </c>
      <c r="C7" s="7" t="inlineStr">
        <is>
          <t>AdSense для авторов из РФ отключён → 0 ₽ (используется для охвата и партнёрки)</t>
        </is>
      </c>
    </row>
    <row r="8">
      <c r="A8" s="5" t="inlineStr">
        <is>
          <t>Дзен: дочитывания</t>
        </is>
      </c>
      <c r="B8" s="13">
        <f>'Ввод'!$B$15*'Ввод'!$B$16*'Ввод'!$B$17*'Ввод'!$B$18</f>
        <v/>
      </c>
      <c r="C8" s="7" t="inlineStr">
        <is>
          <t>просмотры × доля дочитываний × минуты × ставка; порог 30 ч просмотра от подписчиков</t>
        </is>
      </c>
    </row>
    <row r="9">
      <c r="A9" s="5" t="inlineStr">
        <is>
          <t>Boosty / платный клуб</t>
        </is>
      </c>
      <c r="B9" s="13">
        <f>'Ввод'!$B$20*'Ввод'!$B$21</f>
        <v/>
      </c>
      <c r="C9" s="7" t="inlineStr">
        <is>
          <t>платящие × средний чек</t>
        </is>
      </c>
    </row>
    <row r="10">
      <c r="A10" s="5" t="inlineStr">
        <is>
          <t>Инфопродукты и консультации</t>
        </is>
      </c>
      <c r="B10" s="13">
        <f>'Ввод'!$B$22*'Ввод'!$B$23</f>
        <v/>
      </c>
      <c r="C10" s="7" t="inlineStr">
        <is>
          <t>продажи × средний чек</t>
        </is>
      </c>
    </row>
    <row r="11">
      <c r="A11" s="14" t="inlineStr">
        <is>
          <t>ИТОГО ДОХОД (грязными)</t>
        </is>
      </c>
      <c r="B11" s="15">
        <f>SUM(B4:B10)</f>
        <v/>
      </c>
    </row>
    <row r="12">
      <c r="A12" t="inlineStr">
        <is>
          <t>Налог НПД</t>
        </is>
      </c>
      <c r="B12" s="16">
        <f>-B11*'Ввод'!$B$33</f>
        <v/>
      </c>
    </row>
    <row r="13">
      <c r="A13" s="17" t="inlineStr">
        <is>
          <t>ЧИСТЫМИ НА РУКИ</t>
        </is>
      </c>
      <c r="B13" s="18">
        <f>B11+B12</f>
        <v/>
      </c>
    </row>
    <row r="15">
      <c r="A15" s="3" t="inlineStr">
        <is>
          <t>ПАРТНЁРКА ФОГЕЙМА (не кэш, а игровая ценность)</t>
        </is>
      </c>
      <c r="B15" s="4" t="n"/>
      <c r="C15" s="4" t="n"/>
    </row>
    <row r="16">
      <c r="A16" t="inlineStr">
        <is>
          <t>Переходов по реферальной ссылке</t>
        </is>
      </c>
      <c r="B16" s="19">
        <f>'Ввод'!$B$25*'Ввод'!$B$26</f>
        <v/>
      </c>
    </row>
    <row r="17">
      <c r="A17" t="inlineStr">
        <is>
          <t>Регистраций</t>
        </is>
      </c>
      <c r="B17" s="19">
        <f>B16*'Ввод'!$B$27</f>
        <v/>
      </c>
    </row>
    <row r="18">
      <c r="A18" t="inlineStr">
        <is>
          <t>Из них новых/вернувшихся (твинки не считаются)</t>
        </is>
      </c>
      <c r="B18" s="20">
        <f>B17*'Ввод'!$B$28</f>
        <v/>
      </c>
    </row>
    <row r="19">
      <c r="A19" t="inlineStr">
        <is>
          <t>Зачтённых рефералов (дошли до уровня)</t>
        </is>
      </c>
      <c r="B19" s="20">
        <f>B18*'Ввод'!$B$29</f>
        <v/>
      </c>
    </row>
    <row r="20">
      <c r="A20" t="inlineStr">
        <is>
          <t>Бонусов за рефералов (700 за каждого)</t>
        </is>
      </c>
      <c r="B20" s="19">
        <f>B19*'Ввод'!$B$30</f>
        <v/>
      </c>
    </row>
    <row r="21">
      <c r="A21" t="inlineStr">
        <is>
          <t>Бонусов за ранг в месяц (лимит по рангу)</t>
        </is>
      </c>
      <c r="B21" s="19">
        <f>'Ввод'!$B$31</f>
        <v/>
      </c>
    </row>
    <row r="22">
      <c r="A22" s="14" t="inlineStr">
        <is>
          <t>ИТОГО бонусов Фогейма за месяц (1 бонус = 1 ₽ в магазине)</t>
        </is>
      </c>
      <c r="B22" s="21">
        <f>B20+B21</f>
        <v/>
      </c>
    </row>
    <row r="23">
      <c r="C23" s="7" t="inlineStr">
        <is>
          <t>Вывести деньгами нельзя: только оплата Прав, премиума, предметов в магазине Фогейма</t>
        </is>
      </c>
    </row>
    <row r="25">
      <c r="A25" s="14" t="inlineStr">
        <is>
          <t>Суммарный эффект месяца (кэш + игровая ценность)</t>
        </is>
      </c>
      <c r="B25" s="22">
        <f>B13+B21+B20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6" customHeight="1">
      <c r="A1" s="1" t="inlineStr">
        <is>
          <t>ПРОГНОЗ НА 12 МЕСЯЦЕВ — меняй темп роста, остальное пересчитается</t>
        </is>
      </c>
    </row>
    <row r="2">
      <c r="A2" s="2" t="inlineStr">
        <is>
          <t>Модель: каждый месяц аудитория и просмотры растут на заданный %. Доход рассчитывается по тем же формулам, что и на листе «Расчёт месяца».</t>
        </is>
      </c>
    </row>
    <row r="4" ht="32" customHeight="1">
      <c r="A4" s="12" t="inlineStr">
        <is>
          <t>Месяц</t>
        </is>
      </c>
      <c r="B4" s="12" t="inlineStr">
        <is>
          <t>TG подписчики</t>
        </is>
      </c>
      <c r="C4" s="12" t="inlineStr">
        <is>
          <t>Охват поста TG</t>
        </is>
      </c>
      <c r="D4" s="12" t="inlineStr">
        <is>
          <t>Интеграций</t>
        </is>
      </c>
      <c r="E4" s="12" t="inlineStr">
        <is>
          <t>Просмотры Rutube</t>
        </is>
      </c>
      <c r="F4" s="12" t="inlineStr">
        <is>
          <t>Просмотры VK Видео</t>
        </is>
      </c>
      <c r="G4" s="12" t="inlineStr">
        <is>
          <t>Просмотры Дзен</t>
        </is>
      </c>
      <c r="H4" s="12" t="inlineStr">
        <is>
          <t>Рефералов</t>
        </is>
      </c>
      <c r="I4" s="12" t="inlineStr">
        <is>
          <t>Кэш чистыми</t>
        </is>
      </c>
      <c r="J4" s="12" t="inlineStr">
        <is>
          <t>Бонусы Фогейма</t>
        </is>
      </c>
    </row>
    <row r="5">
      <c r="A5" s="14" t="inlineStr">
        <is>
          <t>Темп роста/мес</t>
        </is>
      </c>
      <c r="B5" s="23" t="n">
        <v>0.35</v>
      </c>
      <c r="C5" s="23" t="n">
        <v>0.3</v>
      </c>
      <c r="D5" s="23" t="n">
        <v>0.3</v>
      </c>
      <c r="E5" s="23" t="n">
        <v>0.45</v>
      </c>
      <c r="F5" s="23" t="n">
        <v>0.4</v>
      </c>
      <c r="G5" s="23" t="n">
        <v>0.4</v>
      </c>
      <c r="H5" s="23" t="n">
        <v>0.3</v>
      </c>
      <c r="I5" s="2" t="inlineStr">
        <is>
          <t>← редактируй</t>
        </is>
      </c>
    </row>
    <row r="6">
      <c r="A6" s="14" t="inlineStr">
        <is>
          <t>Мес 1</t>
        </is>
      </c>
      <c r="B6" s="24">
        <f>'Ввод'!$B$4</f>
        <v/>
      </c>
      <c r="C6" s="24">
        <f>'Ввод'!$B$5</f>
        <v/>
      </c>
      <c r="D6" s="24">
        <f>'Ввод'!$B$7</f>
        <v/>
      </c>
      <c r="E6" s="24">
        <f>'Ввод'!$B$9</f>
        <v/>
      </c>
      <c r="F6" s="24">
        <f>'Ввод'!$B$11</f>
        <v/>
      </c>
      <c r="G6" s="24">
        <f>'Ввод'!$B$15</f>
        <v/>
      </c>
      <c r="H6" s="25">
        <f>('Ввод'!$B$25*'Ввод'!$B$26*'Ввод'!$B$27*'Ввод'!$B$28*'Ввод'!$B$29)</f>
        <v/>
      </c>
      <c r="I6" s="13">
        <f>(C6/1000*'Ввод'!$B$6*D6+E6/1000*'Ввод'!$B$10+F6/1000*'Ввод'!$B$12+G6*'Ввод'!$B$16*'Ввод'!$B$17*'Ввод'!$B$18+'Ввод'!$B$20*'Ввод'!$B$21+'Ввод'!$B$22*'Ввод'!$B$23)*(1-'Ввод'!$B$33)</f>
        <v/>
      </c>
      <c r="J6" s="26">
        <f>H6*'Ввод'!$B$30+'Ввод'!$B$31</f>
        <v/>
      </c>
    </row>
    <row r="7">
      <c r="A7" s="14" t="inlineStr">
        <is>
          <t>Мес 2</t>
        </is>
      </c>
      <c r="B7" s="24">
        <f>B6*(1+B$5)</f>
        <v/>
      </c>
      <c r="C7" s="24">
        <f>C6*(1+C$5)</f>
        <v/>
      </c>
      <c r="D7" s="24">
        <f>D6*(1+D$5)</f>
        <v/>
      </c>
      <c r="E7" s="24">
        <f>E6*(1+E$5)</f>
        <v/>
      </c>
      <c r="F7" s="24">
        <f>F6*(1+F$5)</f>
        <v/>
      </c>
      <c r="G7" s="24">
        <f>G6*(1+G$5)</f>
        <v/>
      </c>
      <c r="H7" s="25">
        <f>H6*(1+$H$5)</f>
        <v/>
      </c>
      <c r="I7" s="13">
        <f>(C7/1000*'Ввод'!$B$6*D7+E7/1000*'Ввод'!$B$10+F7/1000*'Ввод'!$B$12+G7*'Ввод'!$B$16*'Ввод'!$B$17*'Ввод'!$B$18+'Ввод'!$B$20*'Ввод'!$B$21+'Ввод'!$B$22*'Ввод'!$B$23)*(1-'Ввод'!$B$33)</f>
        <v/>
      </c>
      <c r="J7" s="26">
        <f>H7*'Ввод'!$B$30+'Ввод'!$B$31</f>
        <v/>
      </c>
    </row>
    <row r="8">
      <c r="A8" s="14" t="inlineStr">
        <is>
          <t>Мес 3</t>
        </is>
      </c>
      <c r="B8" s="24">
        <f>B7*(1+B$5)</f>
        <v/>
      </c>
      <c r="C8" s="24">
        <f>C7*(1+C$5)</f>
        <v/>
      </c>
      <c r="D8" s="24">
        <f>D7*(1+D$5)</f>
        <v/>
      </c>
      <c r="E8" s="24">
        <f>E7*(1+E$5)</f>
        <v/>
      </c>
      <c r="F8" s="24">
        <f>F7*(1+F$5)</f>
        <v/>
      </c>
      <c r="G8" s="24">
        <f>G7*(1+G$5)</f>
        <v/>
      </c>
      <c r="H8" s="25">
        <f>H7*(1+$H$5)</f>
        <v/>
      </c>
      <c r="I8" s="13">
        <f>(C8/1000*'Ввод'!$B$6*D8+E8/1000*'Ввод'!$B$10+F8/1000*'Ввод'!$B$12+G8*'Ввод'!$B$16*'Ввод'!$B$17*'Ввод'!$B$18+'Ввод'!$B$20*'Ввод'!$B$21+'Ввод'!$B$22*'Ввод'!$B$23)*(1-'Ввод'!$B$33)</f>
        <v/>
      </c>
      <c r="J8" s="26">
        <f>H8*'Ввод'!$B$30+'Ввод'!$B$31</f>
        <v/>
      </c>
    </row>
    <row r="9">
      <c r="A9" s="14" t="inlineStr">
        <is>
          <t>Мес 4</t>
        </is>
      </c>
      <c r="B9" s="24">
        <f>B8*(1+B$5)</f>
        <v/>
      </c>
      <c r="C9" s="24">
        <f>C8*(1+C$5)</f>
        <v/>
      </c>
      <c r="D9" s="24">
        <f>D8*(1+D$5)</f>
        <v/>
      </c>
      <c r="E9" s="24">
        <f>E8*(1+E$5)</f>
        <v/>
      </c>
      <c r="F9" s="24">
        <f>F8*(1+F$5)</f>
        <v/>
      </c>
      <c r="G9" s="24">
        <f>G8*(1+G$5)</f>
        <v/>
      </c>
      <c r="H9" s="25">
        <f>H8*(1+$H$5)</f>
        <v/>
      </c>
      <c r="I9" s="13">
        <f>(C9/1000*'Ввод'!$B$6*D9+E9/1000*'Ввод'!$B$10+F9/1000*'Ввод'!$B$12+G9*'Ввод'!$B$16*'Ввод'!$B$17*'Ввод'!$B$18+'Ввод'!$B$20*'Ввод'!$B$21+'Ввод'!$B$22*'Ввод'!$B$23)*(1-'Ввод'!$B$33)</f>
        <v/>
      </c>
      <c r="J9" s="26">
        <f>H9*'Ввод'!$B$30+'Ввод'!$B$31</f>
        <v/>
      </c>
    </row>
    <row r="10">
      <c r="A10" s="14" t="inlineStr">
        <is>
          <t>Мес 5</t>
        </is>
      </c>
      <c r="B10" s="24">
        <f>B9*(1+B$5)</f>
        <v/>
      </c>
      <c r="C10" s="24">
        <f>C9*(1+C$5)</f>
        <v/>
      </c>
      <c r="D10" s="24">
        <f>D9*(1+D$5)</f>
        <v/>
      </c>
      <c r="E10" s="24">
        <f>E9*(1+E$5)</f>
        <v/>
      </c>
      <c r="F10" s="24">
        <f>F9*(1+F$5)</f>
        <v/>
      </c>
      <c r="G10" s="24">
        <f>G9*(1+G$5)</f>
        <v/>
      </c>
      <c r="H10" s="25">
        <f>H9*(1+$H$5)</f>
        <v/>
      </c>
      <c r="I10" s="13">
        <f>(C10/1000*'Ввод'!$B$6*D10+E10/1000*'Ввод'!$B$10+F10/1000*'Ввод'!$B$12+G10*'Ввод'!$B$16*'Ввод'!$B$17*'Ввод'!$B$18+'Ввод'!$B$20*'Ввод'!$B$21+'Ввод'!$B$22*'Ввод'!$B$23)*(1-'Ввод'!$B$33)</f>
        <v/>
      </c>
      <c r="J10" s="26">
        <f>H10*'Ввод'!$B$30+'Ввод'!$B$31</f>
        <v/>
      </c>
    </row>
    <row r="11">
      <c r="A11" s="14" t="inlineStr">
        <is>
          <t>Мес 6</t>
        </is>
      </c>
      <c r="B11" s="24">
        <f>B10*(1+B$5)</f>
        <v/>
      </c>
      <c r="C11" s="24">
        <f>C10*(1+C$5)</f>
        <v/>
      </c>
      <c r="D11" s="24">
        <f>D10*(1+D$5)</f>
        <v/>
      </c>
      <c r="E11" s="24">
        <f>E10*(1+E$5)</f>
        <v/>
      </c>
      <c r="F11" s="24">
        <f>F10*(1+F$5)</f>
        <v/>
      </c>
      <c r="G11" s="24">
        <f>G10*(1+G$5)</f>
        <v/>
      </c>
      <c r="H11" s="25">
        <f>H10*(1+$H$5)</f>
        <v/>
      </c>
      <c r="I11" s="13">
        <f>(C11/1000*'Ввод'!$B$6*D11+E11/1000*'Ввод'!$B$10+F11/1000*'Ввод'!$B$12+G11*'Ввод'!$B$16*'Ввод'!$B$17*'Ввод'!$B$18+'Ввод'!$B$20*'Ввод'!$B$21+'Ввод'!$B$22*'Ввод'!$B$23)*(1-'Ввод'!$B$33)</f>
        <v/>
      </c>
      <c r="J11" s="26">
        <f>H11*'Ввод'!$B$30+'Ввод'!$B$31</f>
        <v/>
      </c>
    </row>
    <row r="12">
      <c r="A12" s="14" t="inlineStr">
        <is>
          <t>Мес 7</t>
        </is>
      </c>
      <c r="B12" s="24">
        <f>B11*(1+B$5)</f>
        <v/>
      </c>
      <c r="C12" s="24">
        <f>C11*(1+C$5)</f>
        <v/>
      </c>
      <c r="D12" s="24">
        <f>D11*(1+D$5)</f>
        <v/>
      </c>
      <c r="E12" s="24">
        <f>E11*(1+E$5)</f>
        <v/>
      </c>
      <c r="F12" s="24">
        <f>F11*(1+F$5)</f>
        <v/>
      </c>
      <c r="G12" s="24">
        <f>G11*(1+G$5)</f>
        <v/>
      </c>
      <c r="H12" s="25">
        <f>H11*(1+$H$5)</f>
        <v/>
      </c>
      <c r="I12" s="13">
        <f>(C12/1000*'Ввод'!$B$6*D12+E12/1000*'Ввод'!$B$10+F12/1000*'Ввод'!$B$12+G12*'Ввод'!$B$16*'Ввод'!$B$17*'Ввод'!$B$18+'Ввод'!$B$20*'Ввод'!$B$21+'Ввод'!$B$22*'Ввод'!$B$23)*(1-'Ввод'!$B$33)</f>
        <v/>
      </c>
      <c r="J12" s="26">
        <f>H12*'Ввод'!$B$30+'Ввод'!$B$31</f>
        <v/>
      </c>
    </row>
    <row r="13">
      <c r="A13" s="14" t="inlineStr">
        <is>
          <t>Мес 8</t>
        </is>
      </c>
      <c r="B13" s="24">
        <f>B12*(1+B$5)</f>
        <v/>
      </c>
      <c r="C13" s="24">
        <f>C12*(1+C$5)</f>
        <v/>
      </c>
      <c r="D13" s="24">
        <f>D12*(1+D$5)</f>
        <v/>
      </c>
      <c r="E13" s="24">
        <f>E12*(1+E$5)</f>
        <v/>
      </c>
      <c r="F13" s="24">
        <f>F12*(1+F$5)</f>
        <v/>
      </c>
      <c r="G13" s="24">
        <f>G12*(1+G$5)</f>
        <v/>
      </c>
      <c r="H13" s="25">
        <f>H12*(1+$H$5)</f>
        <v/>
      </c>
      <c r="I13" s="13">
        <f>(C13/1000*'Ввод'!$B$6*D13+E13/1000*'Ввод'!$B$10+F13/1000*'Ввод'!$B$12+G13*'Ввод'!$B$16*'Ввод'!$B$17*'Ввод'!$B$18+'Ввод'!$B$20*'Ввод'!$B$21+'Ввод'!$B$22*'Ввод'!$B$23)*(1-'Ввод'!$B$33)</f>
        <v/>
      </c>
      <c r="J13" s="26">
        <f>H13*'Ввод'!$B$30+'Ввод'!$B$31</f>
        <v/>
      </c>
    </row>
    <row r="14">
      <c r="A14" s="14" t="inlineStr">
        <is>
          <t>Мес 9</t>
        </is>
      </c>
      <c r="B14" s="24">
        <f>B13*(1+B$5)</f>
        <v/>
      </c>
      <c r="C14" s="24">
        <f>C13*(1+C$5)</f>
        <v/>
      </c>
      <c r="D14" s="24">
        <f>D13*(1+D$5)</f>
        <v/>
      </c>
      <c r="E14" s="24">
        <f>E13*(1+E$5)</f>
        <v/>
      </c>
      <c r="F14" s="24">
        <f>F13*(1+F$5)</f>
        <v/>
      </c>
      <c r="G14" s="24">
        <f>G13*(1+G$5)</f>
        <v/>
      </c>
      <c r="H14" s="25">
        <f>H13*(1+$H$5)</f>
        <v/>
      </c>
      <c r="I14" s="13">
        <f>(C14/1000*'Ввод'!$B$6*D14+E14/1000*'Ввод'!$B$10+F14/1000*'Ввод'!$B$12+G14*'Ввод'!$B$16*'Ввод'!$B$17*'Ввод'!$B$18+'Ввод'!$B$20*'Ввод'!$B$21+'Ввод'!$B$22*'Ввод'!$B$23)*(1-'Ввод'!$B$33)</f>
        <v/>
      </c>
      <c r="J14" s="26">
        <f>H14*'Ввод'!$B$30+'Ввод'!$B$31</f>
        <v/>
      </c>
    </row>
    <row r="15">
      <c r="A15" s="14" t="inlineStr">
        <is>
          <t>Мес 10</t>
        </is>
      </c>
      <c r="B15" s="24">
        <f>B14*(1+B$5)</f>
        <v/>
      </c>
      <c r="C15" s="24">
        <f>C14*(1+C$5)</f>
        <v/>
      </c>
      <c r="D15" s="24">
        <f>D14*(1+D$5)</f>
        <v/>
      </c>
      <c r="E15" s="24">
        <f>E14*(1+E$5)</f>
        <v/>
      </c>
      <c r="F15" s="24">
        <f>F14*(1+F$5)</f>
        <v/>
      </c>
      <c r="G15" s="24">
        <f>G14*(1+G$5)</f>
        <v/>
      </c>
      <c r="H15" s="25">
        <f>H14*(1+$H$5)</f>
        <v/>
      </c>
      <c r="I15" s="13">
        <f>(C15/1000*'Ввод'!$B$6*D15+E15/1000*'Ввод'!$B$10+F15/1000*'Ввод'!$B$12+G15*'Ввод'!$B$16*'Ввод'!$B$17*'Ввод'!$B$18+'Ввод'!$B$20*'Ввод'!$B$21+'Ввод'!$B$22*'Ввод'!$B$23)*(1-'Ввод'!$B$33)</f>
        <v/>
      </c>
      <c r="J15" s="26">
        <f>H15*'Ввод'!$B$30+'Ввод'!$B$31</f>
        <v/>
      </c>
    </row>
    <row r="16">
      <c r="A16" s="14" t="inlineStr">
        <is>
          <t>Мес 11</t>
        </is>
      </c>
      <c r="B16" s="24">
        <f>B15*(1+B$5)</f>
        <v/>
      </c>
      <c r="C16" s="24">
        <f>C15*(1+C$5)</f>
        <v/>
      </c>
      <c r="D16" s="24">
        <f>D15*(1+D$5)</f>
        <v/>
      </c>
      <c r="E16" s="24">
        <f>E15*(1+E$5)</f>
        <v/>
      </c>
      <c r="F16" s="24">
        <f>F15*(1+F$5)</f>
        <v/>
      </c>
      <c r="G16" s="24">
        <f>G15*(1+G$5)</f>
        <v/>
      </c>
      <c r="H16" s="25">
        <f>H15*(1+$H$5)</f>
        <v/>
      </c>
      <c r="I16" s="13">
        <f>(C16/1000*'Ввод'!$B$6*D16+E16/1000*'Ввод'!$B$10+F16/1000*'Ввод'!$B$12+G16*'Ввод'!$B$16*'Ввод'!$B$17*'Ввод'!$B$18+'Ввод'!$B$20*'Ввод'!$B$21+'Ввод'!$B$22*'Ввод'!$B$23)*(1-'Ввод'!$B$33)</f>
        <v/>
      </c>
      <c r="J16" s="26">
        <f>H16*'Ввод'!$B$30+'Ввод'!$B$31</f>
        <v/>
      </c>
    </row>
    <row r="17">
      <c r="A17" s="14" t="inlineStr">
        <is>
          <t>Мес 12</t>
        </is>
      </c>
      <c r="B17" s="24">
        <f>B16*(1+B$5)</f>
        <v/>
      </c>
      <c r="C17" s="24">
        <f>C16*(1+C$5)</f>
        <v/>
      </c>
      <c r="D17" s="24">
        <f>D16*(1+D$5)</f>
        <v/>
      </c>
      <c r="E17" s="24">
        <f>E16*(1+E$5)</f>
        <v/>
      </c>
      <c r="F17" s="24">
        <f>F16*(1+F$5)</f>
        <v/>
      </c>
      <c r="G17" s="24">
        <f>G16*(1+G$5)</f>
        <v/>
      </c>
      <c r="H17" s="25">
        <f>H16*(1+$H$5)</f>
        <v/>
      </c>
      <c r="I17" s="13">
        <f>(C17/1000*'Ввод'!$B$6*D17+E17/1000*'Ввод'!$B$10+F17/1000*'Ввод'!$B$12+G17*'Ввод'!$B$16*'Ввод'!$B$17*'Ввод'!$B$18+'Ввод'!$B$20*'Ввод'!$B$21+'Ввод'!$B$22*'Ввод'!$B$23)*(1-'Ввод'!$B$33)</f>
        <v/>
      </c>
      <c r="J17" s="26">
        <f>H17*'Ввод'!$B$30+'Ввод'!$B$31</f>
        <v/>
      </c>
    </row>
    <row r="18">
      <c r="A18" s="14" t="inlineStr">
        <is>
          <t>ИТОГО за 12 мес</t>
        </is>
      </c>
      <c r="I18" s="27">
        <f>SUM(I6:I17)</f>
        <v/>
      </c>
      <c r="J18" s="21">
        <f>SUM(J6:J17)</f>
        <v/>
      </c>
    </row>
    <row r="20">
      <c r="A20" s="2" t="inlineStr">
        <is>
          <t>Это модель, а не обещание. Ключевой драйвер — регулярность публикаций и скорость реакции на патчи.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4" customWidth="1" min="3" max="3"/>
    <col width="30" customWidth="1" min="4" max="4"/>
  </cols>
  <sheetData>
    <row r="1" ht="26" customHeight="1">
      <c r="A1" s="1" t="inlineStr">
        <is>
          <t>ПОРОГИ ПОДКЛЮЧЕНИЯ МОНЕТИЗАЦИИ И ПАРТНЁРКИ</t>
        </is>
      </c>
    </row>
    <row r="2" ht="32" customHeight="1">
      <c r="A2" s="12" t="inlineStr">
        <is>
          <t>Площадка / программа</t>
        </is>
      </c>
      <c r="B2" s="12" t="inlineStr">
        <is>
          <t>Порог подключения</t>
        </is>
      </c>
      <c r="C2" s="12" t="inlineStr">
        <is>
          <t>Формула / ставка</t>
        </is>
      </c>
      <c r="D2" s="12" t="inlineStr">
        <is>
          <t>Комментарий</t>
        </is>
      </c>
    </row>
    <row r="3" ht="46" customHeight="1">
      <c r="A3" s="28" t="inlineStr">
        <is>
          <t>Партнёрка Фогейма (вход, L2)</t>
        </is>
      </c>
      <c r="B3" s="29" t="inlineStr">
        <is>
          <t>18+; от 4000 просмотров ИЛИ 4 публикации на Twitch/YouTube за месяц; &gt;50% материалов про игру; нет фрода и нарушения АП</t>
        </is>
      </c>
      <c r="C3" s="29" t="inlineStr">
        <is>
          <t>Бонусы, промокоды, премиум, PTS</t>
        </is>
      </c>
      <c r="D3" s="29" t="inlineStr">
        <is>
          <t>Заявка: ru.4game.com/partners/ ; рассматривают в начале месяца; куратор пишет в Telegram</t>
        </is>
      </c>
    </row>
    <row r="4" ht="46" customHeight="1">
      <c r="A4" s="30" t="inlineStr">
        <is>
          <t>Партнёрка: Telegram-шкала</t>
        </is>
      </c>
      <c r="B4" s="31" t="inlineStr">
        <is>
          <t>D: 350 подп. / охват 500. C: 500 / 750. B: 1000 / 1000. A: 2500 / 1500. S: 5000 / 3000</t>
        </is>
      </c>
      <c r="C4" s="31" t="inlineStr">
        <is>
          <t>700 бонусов за реферала + до 70 000 бонусов/мес</t>
        </is>
      </c>
      <c r="D4" s="31" t="inlineStr">
        <is>
          <t>Показатели TG не суммируются с YouTube/Twitch</t>
        </is>
      </c>
    </row>
    <row r="5" ht="46" customHeight="1">
      <c r="A5" s="28" t="inlineStr">
        <is>
          <t>Партнёрка: учёт контента</t>
        </is>
      </c>
      <c r="B5" s="29" t="inlineStr">
        <is>
          <t>Видео ≥3 минут; стрим ≥2 часов вживую; AFK-эфиры не засчитываются</t>
        </is>
      </c>
      <c r="C5" s="29" t="inlineStr">
        <is>
          <t>Ранги A и S — за рефералов (14 и 25)</t>
        </is>
      </c>
      <c r="D5" s="29" t="inlineStr">
        <is>
          <t>Проверка накруток: Social Blade, TwitchTracker, TGstat</t>
        </is>
      </c>
    </row>
    <row r="6" ht="46" customHeight="1">
      <c r="A6" s="30" t="inlineStr">
        <is>
          <t>Дзен</t>
        </is>
      </c>
      <c r="B6" s="31" t="inlineStr">
        <is>
          <t>30 часов просмотра от подписчиков за последние 30 дней</t>
        </is>
      </c>
      <c r="C6" s="31" t="inlineStr">
        <is>
          <t>~0,05 ₽ за минуту дочитывания</t>
        </is>
      </c>
      <c r="D6" s="31" t="inlineStr">
        <is>
          <t>100 000 просмотров/мес ≈ 4 000–12 000 ₽</t>
        </is>
      </c>
    </row>
    <row r="7" ht="46" customHeight="1">
      <c r="A7" s="28" t="inlineStr">
        <is>
          <t>Rutube</t>
        </is>
      </c>
      <c r="B7" s="29" t="inlineStr">
        <is>
          <t>Самозанятый/ИП/юрлицо + 2 видео + 5000 просмотров</t>
        </is>
      </c>
      <c r="C7" s="29" t="inlineStr">
        <is>
          <t>50–90 ₽ / 1000 просмотров + донаты</t>
        </is>
      </c>
      <c r="D7" s="29" t="inlineStr">
        <is>
          <t>Самый быстрый кэш с видео в РФ</t>
        </is>
      </c>
    </row>
    <row r="8" ht="46" customHeight="1">
      <c r="A8" s="30" t="inlineStr">
        <is>
          <t>VK Видео</t>
        </is>
      </c>
      <c r="B8" s="31" t="inlineStr">
        <is>
          <t>Открытое сообщество ≥3 мес, 5000 подписчиков, охваты ≥30% (или рост +1250/мес)</t>
        </is>
      </c>
      <c r="C8" s="31" t="inlineStr">
        <is>
          <t>50–80% дохода от рекламы; 30–50 ₽ / 1000 просмотров</t>
        </is>
      </c>
      <c r="D8" s="31" t="inlineStr">
        <is>
          <t>Монетизируются только сообщества, не личные страницы; Клипы не монетизируются</t>
        </is>
      </c>
    </row>
    <row r="9" ht="46" customHeight="1">
      <c r="A9" s="28" t="inlineStr">
        <is>
          <t>YouTube</t>
        </is>
      </c>
      <c r="B9" s="29" t="inlineStr">
        <is>
          <t>Монетизация AdSense для авторов из РФ отключена</t>
        </is>
      </c>
      <c r="C9" s="29" t="inlineStr">
        <is>
          <t>0 ₽</t>
        </is>
      </c>
      <c r="D9" s="29" t="inlineStr">
        <is>
          <t>Замедление/ограничения доступа; использовать для охвата и входа в партнёрку</t>
        </is>
      </c>
    </row>
    <row r="10" ht="46" customHeight="1">
      <c r="A10" s="30" t="inlineStr">
        <is>
          <t>Telegram Ads</t>
        </is>
      </c>
      <c r="B10" s="31" t="inlineStr">
        <is>
          <t>Публичный канал, 1000+ подписчиков</t>
        </is>
      </c>
      <c r="C10" s="31" t="inlineStr">
        <is>
          <t>50% дохода от показов, выплаты в TON</t>
        </is>
      </c>
      <c r="D10" s="31" t="inlineStr">
        <is>
          <t>В РФ есть ограничения на вывод — проверяй актуальные условия</t>
        </is>
      </c>
    </row>
    <row r="11" ht="46" customHeight="1">
      <c r="A11" s="28" t="inlineStr">
        <is>
          <t>Telegram: продажа постов</t>
        </is>
      </c>
      <c r="B11" s="29" t="inlineStr">
        <is>
          <t>Практически с 500–1000 подписчиков</t>
        </is>
      </c>
      <c r="C11" s="29" t="inlineStr">
        <is>
          <t>охват/1000 × CPM (100–300 ₽ в игровой нише)</t>
        </is>
      </c>
      <c r="D11" s="29" t="inlineStr">
        <is>
          <t>Обязательна маркировка рекламы через ОРД</t>
        </is>
      </c>
    </row>
    <row r="12" ht="46" customHeight="1">
      <c r="A12" s="30" t="inlineStr">
        <is>
          <t>Boosty / платный канал</t>
        </is>
      </c>
      <c r="B12" s="31" t="inlineStr">
        <is>
          <t>1000+ лояльных подписчиков</t>
        </is>
      </c>
      <c r="C12" s="31" t="inlineStr">
        <is>
          <t>1–3% аудитории × 150–500 ₽/мес</t>
        </is>
      </c>
      <c r="D12" s="31" t="inlineStr">
        <is>
          <t>Прикладная польза, иначе отписки</t>
        </is>
      </c>
    </row>
    <row r="13" ht="46" customHeight="1">
      <c r="A13" s="28" t="inlineStr">
        <is>
          <t>РСЯ / программа Яндекса</t>
        </is>
      </c>
      <c r="B13" s="29" t="inlineStr">
        <is>
          <t>Сайт с трафиком (ориентир 500+ визитов/сут)</t>
        </is>
      </c>
      <c r="C13" s="29" t="inlineStr">
        <is>
          <t>за показы/клики и интеграции товаров</t>
        </is>
      </c>
      <c r="D13" s="29" t="inlineStr">
        <is>
          <t>Подключать на 4–5 месяце, когда есть сайт</t>
        </is>
      </c>
    </row>
    <row r="14" ht="46" customHeight="1">
      <c r="A14" s="30" t="inlineStr">
        <is>
          <t>Другие игры Фогейма</t>
        </is>
      </c>
      <c r="B14" s="31" t="inlineStr">
        <is>
          <t>BNS NEO: от 100 просмотров/мес; Point Blank и «Берсерк»: от 300; Aion/Aion Classic: от 1000</t>
        </is>
      </c>
      <c r="C14" s="31" t="inlineStr">
        <is>
          <t>Те же бонусы, отдельные условия</t>
        </is>
      </c>
      <c r="D14" s="31" t="inlineStr">
        <is>
          <t>«Берсерк» учитывает и Rutube. Самый лёгкий вход — BNS NEO</t>
        </is>
      </c>
    </row>
    <row r="15" ht="46" customHeight="1">
      <c r="A15" s="28" t="inlineStr">
        <is>
          <t>Маркировка рекламы</t>
        </is>
      </c>
      <c r="B15" s="29" t="inlineStr">
        <is>
          <t>Обязательна для любой рекламы в интернете (ст. 18.1 ФЗ «О рекламе»)</t>
        </is>
      </c>
      <c r="C15" s="29" t="inlineStr">
        <is>
          <t>erid через ОРД + пометка «Реклама» + сведения о рекламодателе</t>
        </is>
      </c>
      <c r="D15" s="29" t="inlineStr">
        <is>
          <t>Штрафы: физлица 2 000–100 000 ₽, юрлица 100 000–500 000 ₽</t>
        </is>
      </c>
    </row>
    <row r="16" ht="46" customHeight="1">
      <c r="A16" s="30" t="inlineStr">
        <is>
          <t>НПД (самозанятость)</t>
        </is>
      </c>
      <c r="B16" s="31" t="inlineStr">
        <is>
          <t>Оформляется бесплатно в «Мой налог»</t>
        </is>
      </c>
      <c r="C16" s="31" t="inlineStr">
        <is>
          <t>4% с физлиц / 6% с юрлиц; лимит 2,4 млн ₽/год</t>
        </is>
      </c>
      <c r="D16" s="31" t="inlineStr">
        <is>
          <t>Без неё Rutube-монетизация недоступна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 ht="26" customHeight="1">
      <c r="A1" s="1" t="inlineStr">
        <is>
          <t>ПРАЙС-ЛИСТ ДЛЯ РЕКЛАМОДАТЕЛЕЙ (считается от твоего охвата)</t>
        </is>
      </c>
    </row>
    <row r="2" ht="32" customHeight="1">
      <c r="A2" s="12" t="inlineStr">
        <is>
          <t>Охват поста</t>
        </is>
      </c>
      <c r="B2" s="12" t="inlineStr">
        <is>
          <t>Пост 1/24 (низ рынка)</t>
        </is>
      </c>
      <c r="C2" s="12" t="inlineStr">
        <is>
          <t>Пост 1/24 (верх рынка)</t>
        </is>
      </c>
      <c r="D2" s="12" t="inlineStr">
        <is>
          <t>Нативка (+40%)</t>
        </is>
      </c>
      <c r="E2" s="12" t="inlineStr">
        <is>
          <t>Комментарий</t>
        </is>
      </c>
    </row>
    <row r="3">
      <c r="A3" s="2" t="inlineStr">
        <is>
          <t>CPM низ</t>
        </is>
      </c>
      <c r="B3" s="32" t="n">
        <v>100</v>
      </c>
      <c r="C3" s="2" t="inlineStr">
        <is>
          <t>CPM верх</t>
        </is>
      </c>
      <c r="D3" s="32" t="n">
        <v>300</v>
      </c>
    </row>
    <row r="5" ht="32" customHeight="1">
      <c r="A5" s="12" t="inlineStr">
        <is>
          <t>Охват поста</t>
        </is>
      </c>
      <c r="B5" s="12" t="inlineStr">
        <is>
          <t>Пост 1/24 (низ)</t>
        </is>
      </c>
      <c r="C5" s="12" t="inlineStr">
        <is>
          <t>Пост 1/24 (верх)</t>
        </is>
      </c>
      <c r="D5" s="12" t="inlineStr">
        <is>
          <t>Нативная интеграция</t>
        </is>
      </c>
      <c r="E5" s="12" t="inlineStr">
        <is>
          <t>Пакет 3 поста</t>
        </is>
      </c>
    </row>
    <row r="6">
      <c r="A6" s="24" t="n">
        <v>500</v>
      </c>
      <c r="B6" s="33">
        <f>A6/1000*$B$3</f>
        <v/>
      </c>
      <c r="C6" s="33">
        <f>A6/1000*$D$3</f>
        <v/>
      </c>
      <c r="D6" s="33">
        <f>A6/1000*(($B$3+$D$3)/2)*1.4</f>
        <v/>
      </c>
      <c r="E6" s="33">
        <f>A6/1000*(($B$3+$D$3)/2)*2.6</f>
        <v/>
      </c>
    </row>
    <row r="7">
      <c r="A7" s="24" t="n">
        <v>1000</v>
      </c>
      <c r="B7" s="33">
        <f>A7/1000*$B$3</f>
        <v/>
      </c>
      <c r="C7" s="33">
        <f>A7/1000*$D$3</f>
        <v/>
      </c>
      <c r="D7" s="33">
        <f>A7/1000*(($B$3+$D$3)/2)*1.4</f>
        <v/>
      </c>
      <c r="E7" s="33">
        <f>A7/1000*(($B$3+$D$3)/2)*2.6</f>
        <v/>
      </c>
    </row>
    <row r="8">
      <c r="A8" s="24" t="n">
        <v>2000</v>
      </c>
      <c r="B8" s="33">
        <f>A8/1000*$B$3</f>
        <v/>
      </c>
      <c r="C8" s="33">
        <f>A8/1000*$D$3</f>
        <v/>
      </c>
      <c r="D8" s="33">
        <f>A8/1000*(($B$3+$D$3)/2)*1.4</f>
        <v/>
      </c>
      <c r="E8" s="33">
        <f>A8/1000*(($B$3+$D$3)/2)*2.6</f>
        <v/>
      </c>
    </row>
    <row r="9">
      <c r="A9" s="24" t="n">
        <v>3000</v>
      </c>
      <c r="B9" s="33">
        <f>A9/1000*$B$3</f>
        <v/>
      </c>
      <c r="C9" s="33">
        <f>A9/1000*$D$3</f>
        <v/>
      </c>
      <c r="D9" s="33">
        <f>A9/1000*(($B$3+$D$3)/2)*1.4</f>
        <v/>
      </c>
      <c r="E9" s="33">
        <f>A9/1000*(($B$3+$D$3)/2)*2.6</f>
        <v/>
      </c>
    </row>
    <row r="10">
      <c r="A10" s="24" t="n">
        <v>5000</v>
      </c>
      <c r="B10" s="33">
        <f>A10/1000*$B$3</f>
        <v/>
      </c>
      <c r="C10" s="33">
        <f>A10/1000*$D$3</f>
        <v/>
      </c>
      <c r="D10" s="33">
        <f>A10/1000*(($B$3+$D$3)/2)*1.4</f>
        <v/>
      </c>
      <c r="E10" s="33">
        <f>A10/1000*(($B$3+$D$3)/2)*2.6</f>
        <v/>
      </c>
    </row>
    <row r="11">
      <c r="A11" s="24" t="n">
        <v>10000</v>
      </c>
      <c r="B11" s="33">
        <f>A11/1000*$B$3</f>
        <v/>
      </c>
      <c r="C11" s="33">
        <f>A11/1000*$D$3</f>
        <v/>
      </c>
      <c r="D11" s="33">
        <f>A11/1000*(($B$3+$D$3)/2)*1.4</f>
        <v/>
      </c>
      <c r="E11" s="33">
        <f>A11/1000*(($B$3+$D$3)/2)*2.6</f>
        <v/>
      </c>
    </row>
    <row r="12">
      <c r="A12" s="24" t="n">
        <v>20000</v>
      </c>
      <c r="B12" s="33">
        <f>A12/1000*$B$3</f>
        <v/>
      </c>
      <c r="C12" s="33">
        <f>A12/1000*$D$3</f>
        <v/>
      </c>
      <c r="D12" s="33">
        <f>A12/1000*(($B$3+$D$3)/2)*1.4</f>
        <v/>
      </c>
      <c r="E12" s="33">
        <f>A12/1000*(($B$3+$D$3)/2)*2.6</f>
        <v/>
      </c>
    </row>
    <row r="14">
      <c r="A14" s="7" t="inlineStr">
        <is>
          <t>Мой текущий охват: подставь значение из листа «Ввод» и смотри строку выше. Формат 1/24 = пост удаляется через сутки, 1/48 = через двое (скидка 20–30%).</t>
        </is>
      </c>
    </row>
    <row r="15"/>
    <row r="17">
      <c r="A17" s="14" t="inlineStr">
        <is>
          <t>Обязательная строка маркировки в каждом рекламном посте:</t>
        </is>
      </c>
    </row>
    <row r="18">
      <c r="A18" s="34" t="inlineStr">
        <is>
          <t>Реклама. {Наименование рекламодателя, ИНН}. erid: {токен ОРД}</t>
        </is>
      </c>
    </row>
  </sheetData>
  <mergeCells count="3">
    <mergeCell ref="A14:E15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2026-09-12T03:58:52Z</dcterms:created>
  <dcterms:modified xmlns:dcterms="http://purl.org/dc/terms/" xmlns:xsi="http://www.w3.org/2001/XMLSchema-instance" xsi:type="dcterms:W3CDTF">2026-09-12T03:58:52Z</dcterms:modified>
</cp:coreProperties>
</file>